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7285effbe82a246e/デスクトップ/"/>
    </mc:Choice>
  </mc:AlternateContent>
  <xr:revisionPtr revIDLastSave="3" documentId="8_{A933F9F5-29D8-403B-AFCC-4DDD2A2D6CA9}" xr6:coauthVersionLast="47" xr6:coauthVersionMax="47" xr10:uidLastSave="{4A68D921-4965-4719-A23A-F778C9836B42}"/>
  <bookViews>
    <workbookView xWindow="13290" yWindow="930" windowWidth="20550" windowHeight="16880" xr2:uid="{FECFC543-8B12-4497-8D0E-CA45DE967A0C}"/>
  </bookViews>
  <sheets>
    <sheet name="586" sheetId="1" r:id="rId1"/>
  </sheets>
  <definedNames>
    <definedName name="_xlnm.Print_Area" localSheetId="0">'586'!$A$1:$K$26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 l="1"/>
  <c r="C13" i="1"/>
  <c r="C8" i="1"/>
  <c r="C5" i="1"/>
</calcChain>
</file>

<file path=xl/sharedStrings.xml><?xml version="1.0" encoding="utf-8"?>
<sst xmlns="http://schemas.openxmlformats.org/spreadsheetml/2006/main" count="34" uniqueCount="34">
  <si>
    <t>種畜</t>
  </si>
  <si>
    <t>家畜人工授精用</t>
    <phoneticPr fontId="2"/>
  </si>
  <si>
    <r>
      <t> </t>
    </r>
    <r>
      <rPr>
        <sz val="10.5"/>
        <color rgb="FF000000"/>
        <rFont val="ＭＳ 明朝"/>
        <family val="1"/>
        <charset val="128"/>
      </rPr>
      <t>第3938号</t>
    </r>
    <phoneticPr fontId="2"/>
  </si>
  <si>
    <t>名　前</t>
    <phoneticPr fontId="2"/>
  </si>
  <si>
    <t>鶴光重</t>
    <rPh sb="0" eb="3">
      <t>ツル</t>
    </rPh>
    <phoneticPr fontId="2"/>
  </si>
  <si>
    <t>精液証明書番号</t>
    <phoneticPr fontId="2"/>
  </si>
  <si>
    <t>名　　　前</t>
  </si>
  <si>
    <t>精</t>
  </si>
  <si>
    <t>液</t>
  </si>
  <si>
    <t>を</t>
  </si>
  <si>
    <t>個 体 識 別 番 号</t>
    <phoneticPr fontId="2"/>
  </si>
  <si>
    <t>注</t>
  </si>
  <si>
    <r>
      <t>家</t>
    </r>
    <r>
      <rPr>
        <sz val="9"/>
        <color rgb="FF000000"/>
        <rFont val="ＭＳ 明朝"/>
        <family val="1"/>
        <charset val="128"/>
      </rPr>
      <t xml:space="preserve"> </t>
    </r>
    <r>
      <rPr>
        <sz val="10.5"/>
        <color rgb="FF000000"/>
        <rFont val="ＭＳ 明朝"/>
        <family val="1"/>
        <charset val="128"/>
      </rPr>
      <t>畜 登 録 機 関 名</t>
    </r>
    <rPh sb="4" eb="5">
      <t>ノボル</t>
    </rPh>
    <phoneticPr fontId="2"/>
  </si>
  <si>
    <t>入</t>
  </si>
  <si>
    <t>及 び 登 録 番 号</t>
  </si>
  <si>
    <t>し</t>
  </si>
  <si>
    <t>種 類 及 び 品 種</t>
  </si>
  <si>
    <t> 肉用種　褐毛和種</t>
  </si>
  <si>
    <t>た</t>
  </si>
  <si>
    <t>毛 色 及 び 特 徴</t>
  </si>
  <si>
    <t>雌</t>
  </si>
  <si>
    <t>生　年　月　日</t>
  </si>
  <si>
    <t>畜</t>
  </si>
  <si>
    <t>飼養者の氏名又は名称</t>
  </si>
  <si>
    <r>
      <t> </t>
    </r>
    <r>
      <rPr>
        <sz val="10.5"/>
        <color rgb="FF000000"/>
        <rFont val="ＭＳ 明朝"/>
        <family val="1"/>
        <charset val="128"/>
      </rPr>
      <t>池田町字千代田</t>
    </r>
    <r>
      <rPr>
        <sz val="10.5"/>
        <color rgb="FF000000"/>
        <rFont val="Times New Roman"/>
        <family val="1"/>
      </rPr>
      <t>697</t>
    </r>
    <r>
      <rPr>
        <sz val="10.5"/>
        <color rgb="FF000000"/>
        <rFont val="ＭＳ 明朝"/>
        <family val="1"/>
        <charset val="128"/>
      </rPr>
      <t>番地</t>
    </r>
  </si>
  <si>
    <t>及び住所</t>
  </si>
  <si>
    <t>小原　秀樹</t>
  </si>
  <si>
    <t>精　液　注　入　年　月　日</t>
  </si>
  <si>
    <t>上記のとおり家畜人工授精用精液を雌畜に注入したことを証明する。</t>
    <phoneticPr fontId="2"/>
  </si>
  <si>
    <r>
      <t>獣医師</t>
    </r>
    <r>
      <rPr>
        <sz val="10"/>
        <color theme="1"/>
        <rFont val="ＭＳ 明朝"/>
        <family val="1"/>
        <charset val="128"/>
      </rPr>
      <t>（免許番号</t>
    </r>
    <r>
      <rPr>
        <sz val="10"/>
        <color theme="1"/>
        <rFont val="Times New Roman"/>
        <family val="1"/>
      </rPr>
      <t>: 01L237</t>
    </r>
    <r>
      <rPr>
        <sz val="10"/>
        <color theme="1"/>
        <rFont val="ＭＳ 明朝"/>
        <family val="1"/>
        <charset val="128"/>
      </rPr>
      <t>）　</t>
    </r>
    <phoneticPr fontId="2"/>
  </si>
  <si>
    <r>
      <t>（登録番号</t>
    </r>
    <r>
      <rPr>
        <sz val="10"/>
        <color rgb="FF000000"/>
        <rFont val="Times New Roman"/>
        <family val="1"/>
      </rPr>
      <t xml:space="preserve">: </t>
    </r>
    <r>
      <rPr>
        <sz val="10"/>
        <color rgb="FF000000"/>
        <rFont val="ＭＳ 明朝"/>
        <family val="1"/>
        <charset val="128"/>
      </rPr>
      <t>第</t>
    </r>
    <r>
      <rPr>
        <sz val="10"/>
        <color rgb="FF000000"/>
        <rFont val="Times New Roman"/>
        <family val="1"/>
      </rPr>
      <t xml:space="preserve"> 60937 </t>
    </r>
    <r>
      <rPr>
        <sz val="10"/>
        <color rgb="FF000000"/>
        <rFont val="ＭＳ 明朝"/>
        <family val="1"/>
        <charset val="128"/>
      </rPr>
      <t>号）</t>
    </r>
    <phoneticPr fontId="2"/>
  </si>
  <si>
    <r>
      <t>住　所</t>
    </r>
    <r>
      <rPr>
        <sz val="10"/>
        <color rgb="FF000000"/>
        <rFont val="Times New Roman"/>
        <family val="1"/>
      </rPr>
      <t xml:space="preserve">   </t>
    </r>
    <r>
      <rPr>
        <sz val="10"/>
        <color rgb="FF000000"/>
        <rFont val="ＭＳ 明朝"/>
        <family val="1"/>
        <charset val="128"/>
      </rPr>
      <t>中川郡池田町字千代田</t>
    </r>
    <r>
      <rPr>
        <sz val="10"/>
        <color rgb="FF000000"/>
        <rFont val="Times New Roman"/>
        <family val="1"/>
      </rPr>
      <t>697</t>
    </r>
    <r>
      <rPr>
        <sz val="10"/>
        <color rgb="FF000000"/>
        <rFont val="ＭＳ 明朝"/>
        <family val="1"/>
        <charset val="128"/>
      </rPr>
      <t>番地</t>
    </r>
    <phoneticPr fontId="2"/>
  </si>
  <si>
    <t>氏　名　小原 千佳</t>
    <phoneticPr fontId="2"/>
  </si>
  <si>
    <t>小原家畜人工授精所  　㊞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</si>
</sst>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2" x14ac:knownFonts="1">
    <font>
      <sz val="11"/>
      <color theme="1"/>
      <name val="游ゴシック"/>
      <family val="2"/>
      <charset val="128"/>
      <scheme val="minor"/>
    </font>
    <font>
      <sz val="10.5"/>
      <color rgb="FF000000"/>
      <name val="ＭＳ 明朝"/>
      <family val="1"/>
      <charset val="128"/>
    </font>
    <font>
      <sz val="6"/>
      <name val="游ゴシック"/>
      <family val="2"/>
      <charset val="128"/>
      <scheme val="minor"/>
    </font>
    <font>
      <sz val="10.5"/>
      <color rgb="FF000000"/>
      <name val="Times New Roman"/>
      <family val="1"/>
    </font>
    <font>
      <sz val="10"/>
      <color rgb="FF000000"/>
      <name val="ＭＳ 明朝"/>
      <family val="1"/>
      <charset val="128"/>
    </font>
    <font>
      <sz val="9"/>
      <color rgb="FF000000"/>
      <name val="ＭＳ 明朝"/>
      <family val="1"/>
      <charset val="128"/>
    </font>
    <font>
      <sz val="10.5"/>
      <name val="游明朝"/>
      <family val="1"/>
      <charset val="128"/>
    </font>
    <font>
      <sz val="18"/>
      <name val="Arial"/>
      <family val="2"/>
    </font>
    <font>
      <sz val="10"/>
      <color theme="1"/>
      <name val="ＭＳ 明朝"/>
      <family val="1"/>
      <charset val="128"/>
    </font>
    <font>
      <sz val="11"/>
      <color theme="1"/>
      <name val="ＭＳ 明朝"/>
      <family val="1"/>
      <charset val="128"/>
    </font>
    <font>
      <sz val="10"/>
      <color theme="1"/>
      <name val="Times New Roman"/>
      <family val="1"/>
    </font>
    <font>
      <sz val="10"/>
      <color rgb="FF000000"/>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7">
    <xf numFmtId="0" fontId="0" fillId="0" borderId="0" xfId="0">
      <alignment vertical="center"/>
    </xf>
    <xf numFmtId="0" fontId="1" fillId="0" borderId="1"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0" fillId="0" borderId="1" xfId="0" applyBorder="1">
      <alignment vertical="center"/>
    </xf>
    <xf numFmtId="0" fontId="1" fillId="0" borderId="6" xfId="0" applyFont="1" applyBorder="1" applyAlignment="1">
      <alignment horizontal="center" vertical="center" wrapText="1" readingOrder="1"/>
    </xf>
    <xf numFmtId="0" fontId="1" fillId="0" borderId="12" xfId="0" applyFont="1" applyBorder="1" applyAlignment="1">
      <alignment horizontal="center" vertical="center" wrapText="1" readingOrder="1"/>
    </xf>
    <xf numFmtId="0" fontId="1" fillId="0" borderId="15" xfId="0" applyFont="1" applyBorder="1" applyAlignment="1">
      <alignment horizontal="center" vertical="center" wrapText="1" readingOrder="1"/>
    </xf>
    <xf numFmtId="0" fontId="1" fillId="0" borderId="1" xfId="0" applyFont="1" applyBorder="1" applyAlignment="1">
      <alignment horizontal="left" vertical="center" wrapText="1" readingOrder="1"/>
    </xf>
    <xf numFmtId="0" fontId="0" fillId="0" borderId="2" xfId="0" applyBorder="1" applyAlignment="1">
      <alignment horizontal="center" vertical="center" wrapText="1"/>
    </xf>
    <xf numFmtId="0" fontId="1" fillId="0" borderId="2" xfId="0" applyFont="1" applyBorder="1" applyAlignment="1">
      <alignment horizontal="left" vertical="center" wrapText="1" readingOrder="1"/>
    </xf>
    <xf numFmtId="0" fontId="1" fillId="0" borderId="9" xfId="0" applyFont="1" applyBorder="1" applyAlignment="1">
      <alignment horizontal="justify" vertical="center" wrapText="1" readingOrder="1"/>
    </xf>
    <xf numFmtId="0" fontId="1" fillId="0" borderId="10" xfId="0" applyFont="1" applyBorder="1" applyAlignment="1">
      <alignment horizontal="justify" vertical="center" wrapText="1" readingOrder="1"/>
    </xf>
    <xf numFmtId="0" fontId="1" fillId="0" borderId="11" xfId="0" applyFont="1" applyBorder="1" applyAlignment="1">
      <alignment horizontal="justify" vertical="center" wrapText="1" readingOrder="1"/>
    </xf>
    <xf numFmtId="0" fontId="1" fillId="0" borderId="12" xfId="0" applyFont="1" applyBorder="1" applyAlignment="1">
      <alignment horizontal="center" vertical="center" wrapText="1" readingOrder="1"/>
    </xf>
    <xf numFmtId="0" fontId="1" fillId="0" borderId="14" xfId="0" applyFont="1" applyBorder="1" applyAlignment="1">
      <alignment horizontal="center" vertical="center" wrapText="1" readingOrder="1"/>
    </xf>
    <xf numFmtId="31" fontId="3" fillId="0" borderId="12" xfId="0" applyNumberFormat="1" applyFont="1" applyBorder="1" applyAlignment="1">
      <alignment horizontal="left" vertical="center" wrapText="1" readingOrder="1"/>
    </xf>
    <xf numFmtId="31" fontId="3" fillId="0" borderId="13" xfId="0" applyNumberFormat="1" applyFont="1" applyBorder="1" applyAlignment="1">
      <alignment horizontal="left" vertical="center" wrapText="1" readingOrder="1"/>
    </xf>
    <xf numFmtId="31" fontId="3" fillId="0" borderId="14" xfId="0" applyNumberFormat="1" applyFont="1" applyBorder="1" applyAlignment="1">
      <alignment horizontal="left" vertical="center" wrapText="1" readingOrder="1"/>
    </xf>
    <xf numFmtId="0" fontId="3" fillId="0" borderId="12" xfId="0" applyFont="1" applyBorder="1" applyAlignment="1">
      <alignment horizontal="justify" vertical="center" wrapText="1" readingOrder="1"/>
    </xf>
    <xf numFmtId="0" fontId="3" fillId="0" borderId="13" xfId="0" applyFont="1" applyBorder="1" applyAlignment="1">
      <alignment horizontal="justify" vertical="center" wrapText="1" readingOrder="1"/>
    </xf>
    <xf numFmtId="0" fontId="3" fillId="0" borderId="14" xfId="0" applyFont="1" applyBorder="1" applyAlignment="1">
      <alignment horizontal="justify" vertical="center" wrapText="1" readingOrder="1"/>
    </xf>
    <xf numFmtId="0" fontId="6" fillId="0" borderId="3" xfId="0" applyFont="1" applyBorder="1" applyAlignment="1">
      <alignment horizontal="justify" vertical="center" wrapText="1"/>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9" xfId="0" applyFont="1" applyBorder="1" applyAlignment="1">
      <alignment horizontal="justify" vertical="center" wrapText="1"/>
    </xf>
    <xf numFmtId="0" fontId="7" fillId="0" borderId="10" xfId="0" applyFont="1" applyBorder="1" applyAlignment="1">
      <alignment horizontal="justify" vertical="center" wrapText="1"/>
    </xf>
    <xf numFmtId="0" fontId="7" fillId="0" borderId="11" xfId="0" applyFont="1" applyBorder="1" applyAlignment="1">
      <alignment horizontal="justify" vertical="center" wrapText="1"/>
    </xf>
    <xf numFmtId="0" fontId="7" fillId="0" borderId="12" xfId="0" applyFont="1" applyBorder="1" applyAlignment="1">
      <alignment horizontal="justify" vertical="center" wrapText="1"/>
    </xf>
    <xf numFmtId="0" fontId="7" fillId="0" borderId="13" xfId="0" applyFont="1" applyBorder="1" applyAlignment="1">
      <alignment horizontal="justify" vertical="center" wrapText="1"/>
    </xf>
    <xf numFmtId="0" fontId="7" fillId="0" borderId="14" xfId="0" applyFont="1" applyBorder="1" applyAlignment="1">
      <alignment horizontal="justify" vertical="center" wrapText="1"/>
    </xf>
    <xf numFmtId="176" fontId="3" fillId="0" borderId="12" xfId="0" applyNumberFormat="1" applyFont="1" applyBorder="1" applyAlignment="1">
      <alignment horizontal="justify" vertical="center" wrapText="1" readingOrder="1"/>
    </xf>
    <xf numFmtId="176" fontId="3" fillId="0" borderId="13" xfId="0" applyNumberFormat="1" applyFont="1" applyBorder="1" applyAlignment="1">
      <alignment horizontal="justify" vertical="center" wrapText="1" readingOrder="1"/>
    </xf>
    <xf numFmtId="176" fontId="3" fillId="0" borderId="14" xfId="0" applyNumberFormat="1" applyFont="1" applyBorder="1" applyAlignment="1">
      <alignment horizontal="justify" vertical="center" wrapText="1" readingOrder="1"/>
    </xf>
    <xf numFmtId="0" fontId="3" fillId="0" borderId="3" xfId="0" applyFont="1" applyBorder="1" applyAlignment="1">
      <alignment horizontal="justify" vertical="center" wrapText="1" readingOrder="1"/>
    </xf>
    <xf numFmtId="0" fontId="3" fillId="0" borderId="4" xfId="0" applyFont="1" applyBorder="1" applyAlignment="1">
      <alignment horizontal="justify" vertical="center" wrapText="1" readingOrder="1"/>
    </xf>
    <xf numFmtId="0" fontId="3" fillId="0" borderId="5" xfId="0" applyFont="1" applyBorder="1" applyAlignment="1">
      <alignment horizontal="justify" vertical="center" wrapText="1" readingOrder="1"/>
    </xf>
    <xf numFmtId="0" fontId="1" fillId="0" borderId="1"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3" fillId="0" borderId="1" xfId="0" applyFont="1" applyBorder="1" applyAlignment="1">
      <alignment horizontal="justify" vertical="center" wrapText="1" readingOrder="1"/>
    </xf>
    <xf numFmtId="0" fontId="3" fillId="0" borderId="2" xfId="0" applyFont="1" applyBorder="1" applyAlignment="1">
      <alignment horizontal="justify" vertical="center" wrapText="1" readingOrder="1"/>
    </xf>
    <xf numFmtId="0" fontId="4" fillId="0" borderId="1" xfId="0" applyFont="1" applyBorder="1" applyAlignment="1">
      <alignment horizontal="center" vertical="center" wrapText="1" readingOrder="1"/>
    </xf>
    <xf numFmtId="0" fontId="4" fillId="0" borderId="2"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1" fillId="0" borderId="6" xfId="0" applyFont="1" applyBorder="1" applyAlignment="1">
      <alignment horizontal="center" vertical="center" wrapText="1" readingOrder="1"/>
    </xf>
    <xf numFmtId="0" fontId="1" fillId="0" borderId="3" xfId="0" applyFont="1" applyBorder="1" applyAlignment="1">
      <alignment horizontal="justify" vertical="center" wrapText="1" readingOrder="1"/>
    </xf>
    <xf numFmtId="0" fontId="1" fillId="0" borderId="4" xfId="0" applyFont="1" applyBorder="1" applyAlignment="1">
      <alignment horizontal="justify" vertical="center" wrapText="1" readingOrder="1"/>
    </xf>
    <xf numFmtId="0" fontId="1" fillId="0" borderId="5" xfId="0" applyFont="1" applyBorder="1" applyAlignment="1">
      <alignment horizontal="justify" vertical="center" wrapText="1" readingOrder="1"/>
    </xf>
    <xf numFmtId="0" fontId="1" fillId="0" borderId="7" xfId="0" applyFont="1" applyBorder="1" applyAlignment="1">
      <alignment horizontal="justify" vertical="center" wrapText="1" readingOrder="1"/>
    </xf>
    <xf numFmtId="0" fontId="1" fillId="0" borderId="8" xfId="0" applyFont="1" applyBorder="1" applyAlignment="1">
      <alignment horizontal="justify" vertical="center" wrapText="1" readingOrder="1"/>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7" xfId="0" applyBorder="1">
      <alignment vertical="center"/>
    </xf>
    <xf numFmtId="0" fontId="0" fillId="0" borderId="0" xfId="0" applyBorder="1">
      <alignment vertical="center"/>
    </xf>
    <xf numFmtId="0" fontId="0" fillId="0" borderId="8" xfId="0" applyBorder="1">
      <alignment vertical="center"/>
    </xf>
    <xf numFmtId="0" fontId="1" fillId="0" borderId="0" xfId="0" applyFont="1" applyBorder="1" applyAlignment="1">
      <alignment horizontal="justify" vertical="center" wrapText="1" readingOrder="1"/>
    </xf>
    <xf numFmtId="0" fontId="8" fillId="0" borderId="7" xfId="0" applyFont="1" applyBorder="1">
      <alignment vertical="center"/>
    </xf>
    <xf numFmtId="0" fontId="9" fillId="0" borderId="0" xfId="0" applyFont="1" applyBorder="1">
      <alignment vertical="center"/>
    </xf>
    <xf numFmtId="176" fontId="8" fillId="0" borderId="0" xfId="0" applyNumberFormat="1"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vertical="center" readingOrder="1"/>
    </xf>
    <xf numFmtId="0" fontId="4" fillId="0" borderId="0" xfId="0" applyFont="1" applyBorder="1" applyAlignment="1">
      <alignment horizontal="left" vertical="center" readingOrder="1"/>
    </xf>
    <xf numFmtId="0" fontId="0" fillId="0" borderId="9" xfId="0" applyBorder="1">
      <alignment vertical="center"/>
    </xf>
    <xf numFmtId="0" fontId="0" fillId="0" borderId="10" xfId="0" applyBorder="1">
      <alignment vertical="center"/>
    </xf>
    <xf numFmtId="0" fontId="4" fillId="0" borderId="10" xfId="0" applyFont="1" applyBorder="1" applyAlignment="1">
      <alignment horizontal="left" vertical="center"/>
    </xf>
    <xf numFmtId="0" fontId="0" fillId="0" borderId="11"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88900</xdr:colOff>
      <xdr:row>2</xdr:row>
      <xdr:rowOff>21062</xdr:rowOff>
    </xdr:to>
    <xdr:sp macro="" textlink="">
      <xdr:nvSpPr>
        <xdr:cNvPr id="2" name="テキスト ボックス 8">
          <a:extLst>
            <a:ext uri="{FF2B5EF4-FFF2-40B4-BE49-F238E27FC236}">
              <a16:creationId xmlns:a16="http://schemas.microsoft.com/office/drawing/2014/main" id="{30516535-2439-42F6-A582-860EEA7050A1}"/>
            </a:ext>
          </a:extLst>
        </xdr:cNvPr>
        <xdr:cNvSpPr txBox="1"/>
      </xdr:nvSpPr>
      <xdr:spPr>
        <a:xfrm>
          <a:off x="0" y="0"/>
          <a:ext cx="1949450" cy="478262"/>
        </a:xfrm>
        <a:prstGeom prst="rect">
          <a:avLst/>
        </a:prstGeom>
        <a:noFill/>
      </xdr:spPr>
      <xdr:txBody>
        <a:bodyPr wrap="square">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tab pos="533400" algn="r"/>
              <a:tab pos="2700338" algn="ctr"/>
              <a:tab pos="5400675" algn="r"/>
            </a:tabLst>
            <a:defRPr/>
          </a:pPr>
          <a:r>
            <a:rPr kumimoji="0" lang="ja-JP" altLang="ja-JP" sz="1000" b="0" i="0" u="none" strike="noStrike" kern="1200" cap="none" spc="0" normalizeH="0" baseline="0">
              <a:ln>
                <a:noFill/>
              </a:ln>
              <a:solidFill>
                <a:prstClr val="black"/>
              </a:solidFill>
              <a:effectLst/>
              <a:uLnTx/>
              <a:uFillTx/>
              <a:latin typeface="Times New Roman" panose="02020603050405020304" pitchFamily="18" charset="0"/>
              <a:ea typeface="ＭＳ 明朝" panose="02020609040205080304" pitchFamily="17" charset="-128"/>
              <a:cs typeface="Times New Roman" panose="02020603050405020304" pitchFamily="18" charset="0"/>
            </a:rPr>
            <a:t>第　　　　　</a:t>
          </a:r>
          <a:r>
            <a:rPr kumimoji="0" lang="en-US" altLang="ja-JP" sz="1000" b="0" i="0" u="none" strike="noStrike" kern="1200" cap="none" spc="0" normalizeH="0" baseline="0">
              <a:ln>
                <a:noFill/>
              </a:ln>
              <a:solidFill>
                <a:prstClr val="black"/>
              </a:solidFill>
              <a:effectLst/>
              <a:uLnTx/>
              <a:uFillTx/>
              <a:latin typeface="Times New Roman" panose="02020603050405020304" pitchFamily="18" charset="0"/>
              <a:ea typeface="ＭＳ 明朝" panose="02020609040205080304" pitchFamily="17" charset="-128"/>
              <a:cs typeface="Times New Roman" panose="02020603050405020304" pitchFamily="18" charset="0"/>
            </a:rPr>
            <a:t>586</a:t>
          </a:r>
          <a:r>
            <a:rPr kumimoji="0" lang="ja-JP" altLang="ja-JP" sz="1000" b="0" i="0" u="none" strike="noStrike" kern="1200" cap="none" spc="0" normalizeH="0" baseline="0">
              <a:ln>
                <a:noFill/>
              </a:ln>
              <a:solidFill>
                <a:prstClr val="black"/>
              </a:solidFill>
              <a:effectLst/>
              <a:uLnTx/>
              <a:uFillTx/>
              <a:latin typeface="Times New Roman" panose="02020603050405020304" pitchFamily="18" charset="0"/>
              <a:ea typeface="ＭＳ 明朝" panose="02020609040205080304" pitchFamily="17" charset="-128"/>
              <a:cs typeface="Times New Roman" panose="02020603050405020304" pitchFamily="18" charset="0"/>
            </a:rPr>
            <a:t>号</a:t>
          </a:r>
          <a:endParaRPr kumimoji="0" lang="ja-JP" altLang="ja-JP" sz="400" b="0" i="0" u="none" strike="noStrike" kern="1200" cap="none" spc="0" normalizeH="0" baseline="0">
            <a:ln>
              <a:noFill/>
            </a:ln>
            <a:solidFill>
              <a:prstClr val="black"/>
            </a:solidFill>
            <a:effectLst/>
            <a:uLnTx/>
            <a:uFillTx/>
            <a:latin typeface="游ゴシック" panose="020F0502020204030204"/>
            <a:ea typeface="游ゴシック" panose="020B0400000000000000" pitchFamily="50" charset="-128"/>
            <a:cs typeface="+mn-cs"/>
          </a:endParaRPr>
        </a:p>
        <a:p>
          <a:pPr marL="0" marR="0" lvl="0" indent="0" algn="l" defTabSz="914400" rtl="0" eaLnBrk="0" fontAlgn="base" latinLnBrk="0" hangingPunct="0">
            <a:lnSpc>
              <a:spcPct val="100000"/>
            </a:lnSpc>
            <a:spcBef>
              <a:spcPct val="0"/>
            </a:spcBef>
            <a:spcAft>
              <a:spcPct val="0"/>
            </a:spcAft>
            <a:buClrTx/>
            <a:buSzTx/>
            <a:buFontTx/>
            <a:buNone/>
            <a:tabLst>
              <a:tab pos="533400" algn="r"/>
              <a:tab pos="2700338" algn="ctr"/>
              <a:tab pos="5400675" algn="r"/>
            </a:tabLst>
            <a:defRPr/>
          </a:pPr>
          <a:r>
            <a:rPr kumimoji="0" lang="ja-JP" altLang="ja-JP" sz="1000" b="0" i="0" u="none" strike="noStrike" kern="1200" cap="none" spc="0" normalizeH="0" baseline="0">
              <a:ln>
                <a:noFill/>
              </a:ln>
              <a:solidFill>
                <a:prstClr val="black"/>
              </a:solidFill>
              <a:effectLst/>
              <a:uLnTx/>
              <a:uFillTx/>
              <a:latin typeface="Times New Roman" panose="02020603050405020304" pitchFamily="18" charset="0"/>
              <a:ea typeface="ＭＳ 明朝" panose="02020609040205080304" pitchFamily="17" charset="-128"/>
              <a:cs typeface="Times New Roman" panose="02020603050405020304" pitchFamily="18" charset="0"/>
            </a:rPr>
            <a:t>　　</a:t>
          </a:r>
          <a:endParaRPr lang="ja-JP" altLang="en-US"/>
        </a:p>
      </xdr:txBody>
    </xdr:sp>
    <xdr:clientData/>
  </xdr:twoCellAnchor>
  <xdr:twoCellAnchor>
    <xdr:from>
      <xdr:col>1</xdr:col>
      <xdr:colOff>1459770</xdr:colOff>
      <xdr:row>0</xdr:row>
      <xdr:rowOff>0</xdr:rowOff>
    </xdr:from>
    <xdr:to>
      <xdr:col>3</xdr:col>
      <xdr:colOff>317281</xdr:colOff>
      <xdr:row>1</xdr:row>
      <xdr:rowOff>140732</xdr:rowOff>
    </xdr:to>
    <xdr:sp macro="" textlink="">
      <xdr:nvSpPr>
        <xdr:cNvPr id="3" name="正方形/長方形 2">
          <a:extLst>
            <a:ext uri="{FF2B5EF4-FFF2-40B4-BE49-F238E27FC236}">
              <a16:creationId xmlns:a16="http://schemas.microsoft.com/office/drawing/2014/main" id="{59BB326C-4E2F-4906-BCC5-9E555475B0BE}"/>
            </a:ext>
          </a:extLst>
        </xdr:cNvPr>
        <xdr:cNvSpPr/>
      </xdr:nvSpPr>
      <xdr:spPr>
        <a:xfrm>
          <a:off x="1834420" y="0"/>
          <a:ext cx="1740411" cy="369332"/>
        </a:xfrm>
        <a:prstGeom prst="rect">
          <a:avLst/>
        </a:prstGeom>
        <a:noFill/>
      </xdr:spPr>
      <xdr:txBody>
        <a:bodyPr wrap="square" lIns="91440" tIns="45720" rIns="91440" bIns="4572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ja-JP" altLang="en-US">
              <a:ln w="0"/>
              <a:latin typeface="BIZ UDP明朝 Medium" panose="02020500000000000000" pitchFamily="18" charset="-128"/>
              <a:ea typeface="BIZ UDP明朝 Medium" panose="02020500000000000000" pitchFamily="18" charset="-128"/>
            </a:rPr>
            <a:t>授精証明書</a:t>
          </a:r>
          <a:endParaRPr lang="ja-JP" altLang="en-US" b="0" cap="none" spc="0">
            <a:ln w="0"/>
            <a:solidFill>
              <a:schemeClr val="tx1"/>
            </a:solidFill>
            <a:latin typeface="BIZ UDP明朝 Medium" panose="02020500000000000000" pitchFamily="18" charset="-128"/>
            <a:ea typeface="BIZ UDP明朝 Medium" panose="02020500000000000000" pitchFamily="18" charset="-128"/>
          </a:endParaRPr>
        </a:p>
      </xdr:txBody>
    </xdr:sp>
    <xdr:clientData/>
  </xdr:twoCellAnchor>
  <xdr:twoCellAnchor>
    <xdr:from>
      <xdr:col>5</xdr:col>
      <xdr:colOff>254536</xdr:colOff>
      <xdr:row>0</xdr:row>
      <xdr:rowOff>131381</xdr:rowOff>
    </xdr:from>
    <xdr:to>
      <xdr:col>5</xdr:col>
      <xdr:colOff>255458</xdr:colOff>
      <xdr:row>24</xdr:row>
      <xdr:rowOff>197071</xdr:rowOff>
    </xdr:to>
    <xdr:cxnSp macro="">
      <xdr:nvCxnSpPr>
        <xdr:cNvPr id="4" name="直線コネクタ 3">
          <a:extLst>
            <a:ext uri="{FF2B5EF4-FFF2-40B4-BE49-F238E27FC236}">
              <a16:creationId xmlns:a16="http://schemas.microsoft.com/office/drawing/2014/main" id="{7BE88A47-1E1A-454F-B71E-3138F326A0DE}"/>
            </a:ext>
          </a:extLst>
        </xdr:cNvPr>
        <xdr:cNvCxnSpPr/>
      </xdr:nvCxnSpPr>
      <xdr:spPr>
        <a:xfrm>
          <a:off x="4953536" y="131381"/>
          <a:ext cx="922" cy="560924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3BDD-EC42-45B0-8D11-D782605DB8C2}">
  <dimension ref="A1:L25"/>
  <sheetViews>
    <sheetView tabSelected="1" zoomScale="87" zoomScaleNormal="87" workbookViewId="0">
      <selection activeCell="N20" sqref="N20"/>
    </sheetView>
  </sheetViews>
  <sheetFormatPr defaultRowHeight="18" x14ac:dyDescent="0.55000000000000004"/>
  <cols>
    <col min="1" max="1" width="4.9140625" customWidth="1"/>
    <col min="2" max="2" width="19.5" customWidth="1"/>
    <col min="3" max="3" width="18.33203125" customWidth="1"/>
    <col min="4" max="4" width="6.75" customWidth="1"/>
    <col min="5" max="5" width="12.1640625" customWidth="1"/>
    <col min="13" max="13" width="12.5" customWidth="1"/>
    <col min="14" max="14" width="21.6640625" customWidth="1"/>
  </cols>
  <sheetData>
    <row r="1" spans="1:12" x14ac:dyDescent="0.55000000000000004">
      <c r="A1" s="50"/>
      <c r="B1" s="51"/>
      <c r="C1" s="51"/>
      <c r="D1" s="51"/>
      <c r="E1" s="51"/>
      <c r="F1" s="51"/>
      <c r="G1" s="51"/>
      <c r="H1" s="51"/>
      <c r="I1" s="51"/>
      <c r="J1" s="51"/>
      <c r="K1" s="51"/>
      <c r="L1" s="52"/>
    </row>
    <row r="2" spans="1:12" x14ac:dyDescent="0.55000000000000004">
      <c r="A2" s="53"/>
      <c r="B2" s="54"/>
      <c r="C2" s="54"/>
      <c r="D2" s="54"/>
      <c r="E2" s="54"/>
      <c r="F2" s="54"/>
      <c r="G2" s="54"/>
      <c r="H2" s="54"/>
      <c r="I2" s="54"/>
      <c r="J2" s="54"/>
      <c r="K2" s="54"/>
      <c r="L2" s="55"/>
    </row>
    <row r="3" spans="1:12" x14ac:dyDescent="0.55000000000000004">
      <c r="A3" s="36" t="s">
        <v>0</v>
      </c>
      <c r="B3" s="1" t="s">
        <v>1</v>
      </c>
      <c r="C3" s="38" t="s">
        <v>2</v>
      </c>
      <c r="D3" s="40" t="s">
        <v>3</v>
      </c>
      <c r="E3" s="42" t="s">
        <v>4</v>
      </c>
      <c r="F3" s="54"/>
      <c r="G3" s="54"/>
      <c r="H3" s="54"/>
      <c r="I3" s="54"/>
      <c r="J3" s="54"/>
      <c r="K3" s="54"/>
      <c r="L3" s="55"/>
    </row>
    <row r="4" spans="1:12" x14ac:dyDescent="0.55000000000000004">
      <c r="A4" s="37"/>
      <c r="B4" s="2" t="s">
        <v>5</v>
      </c>
      <c r="C4" s="39"/>
      <c r="D4" s="41"/>
      <c r="E4" s="43"/>
      <c r="F4" s="54"/>
      <c r="G4" s="54"/>
      <c r="H4" s="54"/>
      <c r="I4" s="54"/>
      <c r="J4" s="54"/>
      <c r="K4" s="54"/>
      <c r="L4" s="55"/>
    </row>
    <row r="5" spans="1:12" x14ac:dyDescent="0.55000000000000004">
      <c r="A5" s="3"/>
      <c r="B5" s="36" t="s">
        <v>6</v>
      </c>
      <c r="C5" s="45" t="e">
        <f>VLOOKUP(#REF!,B28:F370,2,FALSE)</f>
        <v>#REF!</v>
      </c>
      <c r="D5" s="46"/>
      <c r="E5" s="47"/>
      <c r="F5" s="54"/>
      <c r="G5" s="54"/>
      <c r="H5" s="54"/>
      <c r="I5" s="54"/>
      <c r="J5" s="54"/>
      <c r="K5" s="54"/>
      <c r="L5" s="55"/>
    </row>
    <row r="6" spans="1:12" x14ac:dyDescent="0.55000000000000004">
      <c r="A6" s="4" t="s">
        <v>7</v>
      </c>
      <c r="B6" s="44"/>
      <c r="C6" s="48"/>
      <c r="D6" s="56"/>
      <c r="E6" s="49"/>
      <c r="F6" s="54"/>
      <c r="G6" s="54"/>
      <c r="H6" s="54"/>
      <c r="I6" s="54"/>
      <c r="J6" s="54"/>
      <c r="K6" s="54"/>
      <c r="L6" s="55"/>
    </row>
    <row r="7" spans="1:12" x14ac:dyDescent="0.55000000000000004">
      <c r="A7" s="4" t="s">
        <v>8</v>
      </c>
      <c r="B7" s="37"/>
      <c r="C7" s="10"/>
      <c r="D7" s="11"/>
      <c r="E7" s="12"/>
      <c r="F7" s="54"/>
      <c r="G7" s="54"/>
      <c r="H7" s="54"/>
      <c r="I7" s="54"/>
      <c r="J7" s="54"/>
      <c r="K7" s="54"/>
      <c r="L7" s="55"/>
    </row>
    <row r="8" spans="1:12" x14ac:dyDescent="0.55000000000000004">
      <c r="A8" s="4" t="s">
        <v>9</v>
      </c>
      <c r="B8" s="5" t="s">
        <v>10</v>
      </c>
      <c r="C8" s="18" t="e">
        <f>VLOOKUP(#REF!,B28:F370,3,FALSE)</f>
        <v>#REF!</v>
      </c>
      <c r="D8" s="19"/>
      <c r="E8" s="20"/>
      <c r="F8" s="54"/>
      <c r="G8" s="54"/>
      <c r="H8" s="54"/>
      <c r="I8" s="54"/>
      <c r="J8" s="54"/>
      <c r="K8" s="54"/>
      <c r="L8" s="55"/>
    </row>
    <row r="9" spans="1:12" ht="18" customHeight="1" x14ac:dyDescent="0.55000000000000004">
      <c r="A9" s="4" t="s">
        <v>11</v>
      </c>
      <c r="B9" s="1" t="s">
        <v>12</v>
      </c>
      <c r="C9" s="21"/>
      <c r="D9" s="22"/>
      <c r="E9" s="23"/>
      <c r="F9" s="54"/>
      <c r="G9" s="54"/>
      <c r="H9" s="54"/>
      <c r="I9" s="54"/>
      <c r="J9" s="54"/>
      <c r="K9" s="54"/>
      <c r="L9" s="55"/>
    </row>
    <row r="10" spans="1:12" ht="18" customHeight="1" x14ac:dyDescent="0.55000000000000004">
      <c r="A10" s="4" t="s">
        <v>13</v>
      </c>
      <c r="B10" s="2" t="s">
        <v>14</v>
      </c>
      <c r="C10" s="24"/>
      <c r="D10" s="25"/>
      <c r="E10" s="26"/>
      <c r="F10" s="54"/>
      <c r="G10" s="54"/>
      <c r="H10" s="54"/>
      <c r="I10" s="54"/>
      <c r="J10" s="54"/>
      <c r="K10" s="54"/>
      <c r="L10" s="55"/>
    </row>
    <row r="11" spans="1:12" x14ac:dyDescent="0.55000000000000004">
      <c r="A11" s="4" t="s">
        <v>15</v>
      </c>
      <c r="B11" s="6" t="s">
        <v>16</v>
      </c>
      <c r="C11" s="18" t="s">
        <v>17</v>
      </c>
      <c r="D11" s="19"/>
      <c r="E11" s="20"/>
      <c r="F11" s="54"/>
      <c r="G11" s="54"/>
      <c r="H11" s="54"/>
      <c r="I11" s="54"/>
      <c r="J11" s="54"/>
      <c r="K11" s="54"/>
      <c r="L11" s="55"/>
    </row>
    <row r="12" spans="1:12" ht="22.5" x14ac:dyDescent="0.55000000000000004">
      <c r="A12" s="4" t="s">
        <v>18</v>
      </c>
      <c r="B12" s="6" t="s">
        <v>19</v>
      </c>
      <c r="C12" s="27"/>
      <c r="D12" s="28"/>
      <c r="E12" s="29"/>
      <c r="F12" s="54"/>
      <c r="G12" s="54"/>
      <c r="H12" s="54"/>
      <c r="I12" s="54"/>
      <c r="J12" s="54"/>
      <c r="K12" s="54"/>
      <c r="L12" s="55"/>
    </row>
    <row r="13" spans="1:12" x14ac:dyDescent="0.55000000000000004">
      <c r="A13" s="4" t="s">
        <v>20</v>
      </c>
      <c r="B13" s="6" t="s">
        <v>21</v>
      </c>
      <c r="C13" s="30" t="e">
        <f>VLOOKUP(#REF!,B28:F370,4,FALSE)</f>
        <v>#REF!</v>
      </c>
      <c r="D13" s="31"/>
      <c r="E13" s="32"/>
      <c r="F13" s="54"/>
      <c r="G13" s="54"/>
      <c r="H13" s="54"/>
      <c r="I13" s="54"/>
      <c r="J13" s="54"/>
      <c r="K13" s="54"/>
      <c r="L13" s="55"/>
    </row>
    <row r="14" spans="1:12" ht="18" customHeight="1" x14ac:dyDescent="0.55000000000000004">
      <c r="A14" s="4" t="s">
        <v>22</v>
      </c>
      <c r="B14" s="7" t="s">
        <v>23</v>
      </c>
      <c r="C14" s="33" t="s">
        <v>24</v>
      </c>
      <c r="D14" s="34"/>
      <c r="E14" s="35"/>
      <c r="F14" s="54"/>
      <c r="G14" s="54"/>
      <c r="H14" s="54"/>
      <c r="I14" s="54"/>
      <c r="J14" s="54"/>
      <c r="K14" s="54"/>
      <c r="L14" s="55"/>
    </row>
    <row r="15" spans="1:12" x14ac:dyDescent="0.55000000000000004">
      <c r="A15" s="8"/>
      <c r="B15" s="9" t="s">
        <v>25</v>
      </c>
      <c r="C15" s="10" t="s">
        <v>26</v>
      </c>
      <c r="D15" s="11"/>
      <c r="E15" s="12"/>
      <c r="F15" s="54"/>
      <c r="G15" s="54"/>
      <c r="H15" s="54"/>
      <c r="I15" s="54"/>
      <c r="J15" s="54"/>
      <c r="K15" s="54"/>
      <c r="L15" s="55"/>
    </row>
    <row r="16" spans="1:12" ht="18" customHeight="1" x14ac:dyDescent="0.55000000000000004">
      <c r="A16" s="13" t="s">
        <v>27</v>
      </c>
      <c r="B16" s="14"/>
      <c r="C16" s="15">
        <v>45689</v>
      </c>
      <c r="D16" s="16"/>
      <c r="E16" s="17"/>
      <c r="F16" s="54"/>
      <c r="G16" s="54"/>
      <c r="H16" s="54"/>
      <c r="I16" s="54"/>
      <c r="J16" s="54"/>
      <c r="K16" s="54"/>
      <c r="L16" s="55"/>
    </row>
    <row r="17" spans="1:12" x14ac:dyDescent="0.55000000000000004">
      <c r="A17" s="53"/>
      <c r="B17" s="54"/>
      <c r="C17" s="54"/>
      <c r="D17" s="54"/>
      <c r="E17" s="54"/>
      <c r="F17" s="54"/>
      <c r="G17" s="54"/>
      <c r="H17" s="54"/>
      <c r="I17" s="54"/>
      <c r="J17" s="54"/>
      <c r="K17" s="54"/>
      <c r="L17" s="55"/>
    </row>
    <row r="18" spans="1:12" x14ac:dyDescent="0.55000000000000004">
      <c r="A18" s="57" t="s">
        <v>28</v>
      </c>
      <c r="B18" s="58"/>
      <c r="C18" s="58"/>
      <c r="D18" s="58"/>
      <c r="E18" s="58"/>
      <c r="F18" s="54"/>
      <c r="G18" s="54"/>
      <c r="H18" s="54"/>
      <c r="I18" s="54"/>
      <c r="J18" s="54"/>
      <c r="K18" s="54"/>
      <c r="L18" s="55"/>
    </row>
    <row r="19" spans="1:12" x14ac:dyDescent="0.55000000000000004">
      <c r="A19" s="53"/>
      <c r="B19" s="54"/>
      <c r="C19" s="54"/>
      <c r="D19" s="54"/>
      <c r="E19" s="54"/>
      <c r="F19" s="54"/>
      <c r="G19" s="54"/>
      <c r="H19" s="54"/>
      <c r="I19" s="54"/>
      <c r="J19" s="54"/>
      <c r="K19" s="54"/>
      <c r="L19" s="55"/>
    </row>
    <row r="20" spans="1:12" x14ac:dyDescent="0.55000000000000004">
      <c r="A20" s="53"/>
      <c r="B20" s="54"/>
      <c r="C20" s="59">
        <f>C16</f>
        <v>45689</v>
      </c>
      <c r="D20" s="54"/>
      <c r="E20" s="54"/>
      <c r="F20" s="54"/>
      <c r="G20" s="54"/>
      <c r="H20" s="54"/>
      <c r="I20" s="54"/>
      <c r="J20" s="54"/>
      <c r="K20" s="54"/>
      <c r="L20" s="55"/>
    </row>
    <row r="21" spans="1:12" x14ac:dyDescent="0.55000000000000004">
      <c r="A21" s="53"/>
      <c r="B21" s="54"/>
      <c r="C21" s="60" t="s">
        <v>29</v>
      </c>
      <c r="D21" s="54"/>
      <c r="E21" s="54"/>
      <c r="F21" s="54"/>
      <c r="G21" s="54"/>
      <c r="H21" s="54"/>
      <c r="I21" s="54"/>
      <c r="J21" s="54"/>
      <c r="K21" s="54"/>
      <c r="L21" s="55"/>
    </row>
    <row r="22" spans="1:12" x14ac:dyDescent="0.55000000000000004">
      <c r="A22" s="53"/>
      <c r="B22" s="54"/>
      <c r="C22" s="61" t="s">
        <v>30</v>
      </c>
      <c r="D22" s="54"/>
      <c r="E22" s="54"/>
      <c r="F22" s="54"/>
      <c r="G22" s="54"/>
      <c r="H22" s="54"/>
      <c r="I22" s="54"/>
      <c r="J22" s="54"/>
      <c r="K22" s="54"/>
      <c r="L22" s="55"/>
    </row>
    <row r="23" spans="1:12" x14ac:dyDescent="0.55000000000000004">
      <c r="A23" s="53"/>
      <c r="B23" s="54"/>
      <c r="C23" s="62" t="s">
        <v>31</v>
      </c>
      <c r="D23" s="54"/>
      <c r="E23" s="54"/>
      <c r="F23" s="54"/>
      <c r="G23" s="54"/>
      <c r="H23" s="54"/>
      <c r="I23" s="54"/>
      <c r="J23" s="54"/>
      <c r="K23" s="54"/>
      <c r="L23" s="55"/>
    </row>
    <row r="24" spans="1:12" x14ac:dyDescent="0.55000000000000004">
      <c r="A24" s="53"/>
      <c r="B24" s="54"/>
      <c r="C24" s="60" t="s">
        <v>32</v>
      </c>
      <c r="D24" s="54"/>
      <c r="E24" s="54"/>
      <c r="F24" s="54"/>
      <c r="G24" s="54"/>
      <c r="H24" s="54"/>
      <c r="I24" s="54"/>
      <c r="J24" s="54"/>
      <c r="K24" s="54"/>
      <c r="L24" s="55"/>
    </row>
    <row r="25" spans="1:12" x14ac:dyDescent="0.55000000000000004">
      <c r="A25" s="63"/>
      <c r="B25" s="64"/>
      <c r="C25" s="65" t="s">
        <v>33</v>
      </c>
      <c r="D25" s="64"/>
      <c r="E25" s="64"/>
      <c r="F25" s="64"/>
      <c r="G25" s="64"/>
      <c r="H25" s="64"/>
      <c r="I25" s="64"/>
      <c r="J25" s="64"/>
      <c r="K25" s="64"/>
      <c r="L25" s="66"/>
    </row>
  </sheetData>
  <mergeCells count="15">
    <mergeCell ref="A3:A4"/>
    <mergeCell ref="C3:C4"/>
    <mergeCell ref="D3:D4"/>
    <mergeCell ref="E3:E4"/>
    <mergeCell ref="B5:B7"/>
    <mergeCell ref="C5:E7"/>
    <mergeCell ref="C15:E15"/>
    <mergeCell ref="A16:B16"/>
    <mergeCell ref="C16:E16"/>
    <mergeCell ref="C8:E8"/>
    <mergeCell ref="C9:E10"/>
    <mergeCell ref="C11:E11"/>
    <mergeCell ref="C12:E12"/>
    <mergeCell ref="C13:E13"/>
    <mergeCell ref="C14:E14"/>
  </mergeCells>
  <phoneticPr fontId="2"/>
  <dataValidations count="1">
    <dataValidation type="list" allowBlank="1" showInputMessage="1" showErrorMessage="1" sqref="E3:E4 C11:E11" xr:uid="{02AC79A8-55F4-48BE-AC30-B7BBEC174341}">
      <formula1>#REF!</formula1>
    </dataValidation>
  </dataValidation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586</vt:lpstr>
      <vt:lpstr>'586'!Print_Area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千佳 小原</dc:creator>
  <cp:lastModifiedBy>千佳 小原</cp:lastModifiedBy>
  <dcterms:created xsi:type="dcterms:W3CDTF">2026-03-30T11:15:41Z</dcterms:created>
  <dcterms:modified xsi:type="dcterms:W3CDTF">2026-03-30T11:17:09Z</dcterms:modified>
</cp:coreProperties>
</file>